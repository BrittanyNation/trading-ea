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B3B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5" customWidth="1" min="9" max="9"/>
    <col width="13" customWidth="1" min="10" max="10"/>
    <col width="10" customWidth="1" min="11" max="11"/>
    <col width="11" customWidth="1" min="12" max="12"/>
    <col width="10" customWidth="1" min="13" max="13"/>
    <col width="30" customWidth="1" min="14" max="14"/>
  </cols>
  <sheetData>
    <row r="1">
      <c r="A1" s="1" t="inlineStr">
        <is>
          <t>Date</t>
        </is>
      </c>
      <c r="B1" s="1" t="inlineStr">
        <is>
          <t>EA</t>
        </is>
      </c>
      <c r="C1" s="1" t="inlineStr">
        <is>
          <t>Dir</t>
        </is>
      </c>
      <c r="D1" s="1" t="inlineStr">
        <is>
          <t>Entry</t>
        </is>
      </c>
      <c r="E1" s="1" t="inlineStr">
        <is>
          <t>SL</t>
        </is>
      </c>
      <c r="F1" s="1" t="inlineStr">
        <is>
          <t>TP</t>
        </is>
      </c>
      <c r="G1" s="1" t="inlineStr">
        <is>
          <t>Zone (S/D)</t>
        </is>
      </c>
      <c r="H1" s="1" t="inlineStr">
        <is>
          <t>Zone TF</t>
        </is>
      </c>
      <c r="I1" s="1" t="inlineStr">
        <is>
          <t>Session (server)</t>
        </is>
      </c>
      <c r="J1" s="1" t="inlineStr">
        <is>
          <t>News nearby?</t>
        </is>
      </c>
      <c r="K1" s="1" t="inlineStr">
        <is>
          <t>Risk $</t>
        </is>
      </c>
      <c r="L1" s="1" t="inlineStr">
        <is>
          <t>Result (R)</t>
        </is>
      </c>
      <c r="M1" s="1" t="inlineStr">
        <is>
          <t>P/L $</t>
        </is>
      </c>
      <c r="N1" s="1" t="inlineStr">
        <is>
          <t>Notes</t>
        </is>
      </c>
    </row>
  </sheetData>
  <dataValidations count="3">
    <dataValidation sqref="B2:B500" showDropDown="0" showInputMessage="0" showErrorMessage="0" allowBlank="1" type="list">
      <formula1>"Day,Swing"</formula1>
    </dataValidation>
    <dataValidation sqref="C2:C500" showDropDown="0" showInputMessage="0" showErrorMessage="0" allowBlank="1" type="list">
      <formula1>"Buy,Sell"</formula1>
    </dataValidation>
    <dataValidation sqref="J2:J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2" t="inlineStr">
        <is>
          <t>Total trades</t>
        </is>
      </c>
      <c r="B1">
        <f>COUNTA('Trade Log'!L2:L500)</f>
        <v/>
      </c>
    </row>
    <row r="2">
      <c r="A2" s="2" t="inlineStr">
        <is>
          <t>Wins (R&gt;0)</t>
        </is>
      </c>
      <c r="B2">
        <f>COUNTIF('Trade Log'!L2:L500,"&gt;0")</f>
        <v/>
      </c>
    </row>
    <row r="3">
      <c r="A3" s="2" t="inlineStr">
        <is>
          <t>Losses (R&lt;0)</t>
        </is>
      </c>
      <c r="B3">
        <f>COUNTIF('Trade Log'!L2:L500,"&lt;0")</f>
        <v/>
      </c>
    </row>
    <row r="4">
      <c r="A4" s="2" t="inlineStr">
        <is>
          <t>Breakeven</t>
        </is>
      </c>
      <c r="B4">
        <f>COUNTIF('Trade Log'!L2:L500,0)</f>
        <v/>
      </c>
    </row>
    <row r="5">
      <c r="A5" s="2" t="inlineStr">
        <is>
          <t>Win rate</t>
        </is>
      </c>
      <c r="B5" s="3">
        <f>IF(B1&gt;0,B2/B1,"")</f>
        <v/>
      </c>
    </row>
    <row r="6">
      <c r="A6" s="2" t="inlineStr">
        <is>
          <t>Avg R per trade</t>
        </is>
      </c>
      <c r="B6" s="4">
        <f>IF(B1&gt;0,AVERAGE('Trade Log'!L2:L500),"")</f>
        <v/>
      </c>
    </row>
    <row r="7">
      <c r="A7" s="2" t="inlineStr">
        <is>
          <t>Expectancy (R)</t>
        </is>
      </c>
      <c r="B7" s="4">
        <f>IF(B1&gt;0,AVERAGE('Trade Log'!L2:L500),"")</f>
        <v/>
      </c>
    </row>
    <row r="8">
      <c r="A8" s="2" t="inlineStr">
        <is>
          <t>Total R</t>
        </is>
      </c>
      <c r="B8" s="4">
        <f>SUM('Trade Log'!L2:L500)</f>
        <v/>
      </c>
    </row>
    <row r="9">
      <c r="A9" s="2" t="inlineStr">
        <is>
          <t>Total P/L $</t>
        </is>
      </c>
      <c r="B9" s="5">
        <f>SUM('Trade Log'!M2:M500)</f>
        <v/>
      </c>
    </row>
    <row r="10">
      <c r="A10" s="2" t="inlineStr">
        <is>
          <t>Avg winner (R)</t>
        </is>
      </c>
      <c r="B10" s="4">
        <f>IF(B2&gt;0,AVERAGEIF('Trade Log'!L2:L500,"&gt;0"),"")</f>
        <v/>
      </c>
    </row>
    <row r="11">
      <c r="A11" s="2" t="inlineStr">
        <is>
          <t>Avg loser (R)</t>
        </is>
      </c>
      <c r="B11" s="4">
        <f>IF(B3&gt;0,AVERAGEIF('Trade Log'!L2:L500,"&lt;0"),"")</f>
        <v/>
      </c>
    </row>
    <row r="12">
      <c r="A12" s="2" t="inlineStr">
        <is>
          <t>Profit factor</t>
        </is>
      </c>
      <c r="B12" s="4">
        <f>IF(B3&gt;0,ABS(SUMIF('Trade Log'!L2:L500,"&gt;0")/SUMIF('Trade Log'!L2:L500,"&lt;0")),"")</f>
        <v/>
      </c>
    </row>
    <row r="13">
      <c r="A13" s="2" t="inlineStr">
        <is>
          <t>Day EA trades</t>
        </is>
      </c>
      <c r="B13" s="6">
        <f>COUNTIF('Trade Log'!B2:B500,"Day")</f>
        <v/>
      </c>
    </row>
    <row r="14">
      <c r="A14" s="2" t="inlineStr">
        <is>
          <t>Swing EA trades</t>
        </is>
      </c>
      <c r="B14" s="6">
        <f>COUNTIF('Trade Log'!B2:B500,"Swing")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Fill one row per closed trade. R = profit or loss divided by what you risked.</t>
        </is>
      </c>
    </row>
    <row r="2">
      <c r="A2" t="inlineStr">
        <is>
          <t>Example: risked $100 (1% of 10k), made $150 -&gt; Result (R) = 1.5. Lost $100 -&gt; -1.</t>
        </is>
      </c>
    </row>
    <row r="3">
      <c r="A3" t="inlineStr">
        <is>
          <t>Log the zone type (S = supply, D = demand) and whether news was near.</t>
        </is>
      </c>
    </row>
    <row r="4">
      <c r="A4" t="inlineStr">
        <is>
          <t>The Summary sheet updates itself. Review it every 2 weeks.</t>
        </is>
      </c>
    </row>
    <row r="5">
      <c r="A5" t="inlineStr">
        <is>
          <t>50 trades minimum before judging the EA. One week means nothing.</t>
        </is>
      </c>
    </row>
    <row r="6">
      <c r="A6" t="inlineStr">
        <is>
          <t>Change ONE thing at a time, then collect 20+ more trades before judging the change.</t>
        </is>
      </c>
    </row>
    <row r="7">
      <c r="A7" t="inlineStr">
        <is>
          <t>Red flags to watch: most losses in one session, losses clustered around news days,</t>
        </is>
      </c>
    </row>
    <row r="8">
      <c r="A8" t="inlineStr">
        <is>
          <t>winners that never reach TP (target too far), losers bigger than -1R (slippage/stops).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2026-10-09T19:34:37+00:00Z</dcterms:created>
  <dcterms:modified xmlns:dcterms="http://purl.org/dc/terms/" xmlns:xsi="http://www.w3.org/2001/XMLSchema-instance" xsi:type="dcterms:W3CDTF">2026-10-09T19:34:37+00:00Z</dcterms:modified>
</cp:coreProperties>
</file>